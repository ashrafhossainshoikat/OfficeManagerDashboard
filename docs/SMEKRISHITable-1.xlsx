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3335" windowHeight="7425" activeTab="1"/>
  </bookViews>
  <sheets>
    <sheet name="CUSTOMER_HISTORY" sheetId="1" r:id="rId1"/>
    <sheet name="CUSTOMER_SERVICE_TASK" sheetId="2" r:id="rId2"/>
    <sheet name="TASK_EVENT_HISTORY" sheetId="3" r:id="rId3"/>
  </sheets>
  <calcPr calcId="124519"/>
</workbook>
</file>

<file path=xl/calcChain.xml><?xml version="1.0" encoding="utf-8"?>
<calcChain xmlns="http://schemas.openxmlformats.org/spreadsheetml/2006/main">
  <c r="H5" i="2"/>
  <c r="E8" i="3"/>
  <c r="H8" i="2"/>
  <c r="E7" i="3"/>
  <c r="B6"/>
  <c r="B7"/>
  <c r="B5"/>
  <c r="B4"/>
  <c r="E4"/>
  <c r="B2"/>
  <c r="H7" i="2"/>
  <c r="H6"/>
  <c r="H3"/>
  <c r="H2"/>
  <c r="H9"/>
  <c r="H10"/>
  <c r="H11"/>
  <c r="H12"/>
  <c r="H13"/>
  <c r="H14"/>
  <c r="H15"/>
  <c r="B3" i="3"/>
  <c r="B8"/>
  <c r="B9"/>
  <c r="B10"/>
  <c r="B11"/>
  <c r="B12"/>
  <c r="B13"/>
  <c r="B14"/>
  <c r="B15"/>
  <c r="B16"/>
  <c r="B17"/>
  <c r="B18"/>
  <c r="E3" i="2"/>
  <c r="E4"/>
  <c r="E5"/>
  <c r="E6"/>
  <c r="E7"/>
  <c r="E8"/>
  <c r="E9"/>
  <c r="E10"/>
  <c r="E11"/>
  <c r="E2"/>
  <c r="A4" i="3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3"/>
  <c r="F3" i="2"/>
  <c r="F4"/>
  <c r="F5"/>
  <c r="F6"/>
  <c r="F7"/>
  <c r="F8"/>
  <c r="F2"/>
  <c r="I4" i="1"/>
  <c r="I5"/>
  <c r="I6" s="1"/>
  <c r="I7" s="1"/>
  <c r="I8" s="1"/>
  <c r="I9" s="1"/>
  <c r="I10" s="1"/>
  <c r="I3"/>
</calcChain>
</file>

<file path=xl/sharedStrings.xml><?xml version="1.0" encoding="utf-8"?>
<sst xmlns="http://schemas.openxmlformats.org/spreadsheetml/2006/main" count="189" uniqueCount="127">
  <si>
    <t>ID</t>
  </si>
  <si>
    <t>CUSTOMER_NAME</t>
  </si>
  <si>
    <t>ACCOUNT_NUMBER</t>
  </si>
  <si>
    <t>CUSTOMER_PHONE</t>
  </si>
  <si>
    <t>CUSTOMER_ADDRESS</t>
  </si>
  <si>
    <t>PUNCH_IN_TIME</t>
  </si>
  <si>
    <t>PUNCH_OUT_TIME</t>
  </si>
  <si>
    <t>CARD_NUMBER</t>
  </si>
  <si>
    <t>CARD_ID</t>
  </si>
  <si>
    <t>CUSTOMER_CRITERIA_ID</t>
  </si>
  <si>
    <t>EDIT_COUNT</t>
  </si>
  <si>
    <t>TASK_ISSUE_TIME</t>
  </si>
  <si>
    <t>TASK_START_TIME</t>
  </si>
  <si>
    <t>TASK_END_TIME</t>
  </si>
  <si>
    <t>TOTAL_TASK_TIME</t>
  </si>
  <si>
    <t>TASK_STATUS</t>
  </si>
  <si>
    <t>CUSTOMER_HISTORY_ID</t>
  </si>
  <si>
    <t>TASK_TYPE_ID</t>
  </si>
  <si>
    <t>USERNAME</t>
  </si>
  <si>
    <t>USER_ID</t>
  </si>
  <si>
    <t>TASK_ID</t>
  </si>
  <si>
    <t>TASK_EVENT_TYPE</t>
  </si>
  <si>
    <t>EVENT_START_TIME</t>
  </si>
  <si>
    <t>EVENT_END_TIME</t>
  </si>
  <si>
    <t>REMARKS</t>
  </si>
  <si>
    <t>Ashfak Chowdhury</t>
  </si>
  <si>
    <t>1151847383728475</t>
  </si>
  <si>
    <t>+8801819765432</t>
  </si>
  <si>
    <t>C001</t>
  </si>
  <si>
    <t xml:space="preserve">Hathazari , Chittagong , Bangladesh </t>
  </si>
  <si>
    <t>Malala Yousufzai</t>
  </si>
  <si>
    <t>Shoikat Hossain</t>
  </si>
  <si>
    <t>Khalid saifullah</t>
  </si>
  <si>
    <t>Sultan Ahmed</t>
  </si>
  <si>
    <t>Sheikh Shamir Shakir</t>
  </si>
  <si>
    <t>Tofazzal Hossain</t>
  </si>
  <si>
    <t>Ahmed Sharif</t>
  </si>
  <si>
    <t>Charles Robert Darwin</t>
  </si>
  <si>
    <t>1518283849593830</t>
  </si>
  <si>
    <t>1519876345693830</t>
  </si>
  <si>
    <t>1511100483793001</t>
  </si>
  <si>
    <t>1511100483793321</t>
  </si>
  <si>
    <t>1543217689876543</t>
  </si>
  <si>
    <t>1518234509875678</t>
  </si>
  <si>
    <t>1518890765434567</t>
  </si>
  <si>
    <t>1518890765789765</t>
  </si>
  <si>
    <t>C002</t>
  </si>
  <si>
    <t>C003</t>
  </si>
  <si>
    <t>C004</t>
  </si>
  <si>
    <t>C005</t>
  </si>
  <si>
    <t>C006</t>
  </si>
  <si>
    <t>C007</t>
  </si>
  <si>
    <t>C008</t>
  </si>
  <si>
    <t>C009</t>
  </si>
  <si>
    <t>public static final String TASK_EVENT_TYPE_START = "Start";</t>
  </si>
  <si>
    <t>public static final String TASK_EVENT_TYPE_PAUSE = "Pause";</t>
  </si>
  <si>
    <t>public static final String TASK_EVENT_TYPE_RESUME = "Resume";</t>
  </si>
  <si>
    <t>public static final String TASK_EVENT_TYPE_REASSIGN = "Reassign";</t>
  </si>
  <si>
    <t>public static final String TASK_EVENT_TYPE_ASSIGN = "Assign";</t>
  </si>
  <si>
    <t>public static final String TASK_EVENT_TYPE_CANCEL = "Cancel";</t>
  </si>
  <si>
    <t>public static final String TASK_EVENT_TYPE_COMPLETE = "Complete";</t>
  </si>
  <si>
    <t>WAITING_TIME</t>
  </si>
  <si>
    <t>3748312387384774</t>
  </si>
  <si>
    <t>4875972348738478</t>
  </si>
  <si>
    <t>8394839784758475</t>
  </si>
  <si>
    <t>7742637627344938</t>
  </si>
  <si>
    <t>3847384738632637</t>
  </si>
  <si>
    <t>3784376372377348</t>
  </si>
  <si>
    <t>BSSO_USER2</t>
  </si>
  <si>
    <t>abcd efgh ijkl</t>
  </si>
  <si>
    <t>mnop qrst uvwx</t>
  </si>
  <si>
    <t xml:space="preserve">yz abcd efgh </t>
  </si>
  <si>
    <t>ljsdlf</t>
  </si>
  <si>
    <t>oeiwruiow ioeuroiwe</t>
  </si>
  <si>
    <t>lksjdflk ,xmv,</t>
  </si>
  <si>
    <t>oiewruer kxjfk</t>
  </si>
  <si>
    <t>Complete</t>
  </si>
  <si>
    <t>Pause</t>
  </si>
  <si>
    <t>Cancel</t>
  </si>
  <si>
    <t>Resume</t>
  </si>
  <si>
    <t>Ended Successfully</t>
  </si>
  <si>
    <t>Cancelled</t>
  </si>
  <si>
    <t>2014-11-20 10:05:00</t>
  </si>
  <si>
    <t>2014-11-21 10:15:56</t>
  </si>
  <si>
    <t>2014-11-21 10:25:00</t>
  </si>
  <si>
    <t>2014-11-22 10:35:00</t>
  </si>
  <si>
    <t>2014-11-22 14:25:00</t>
  </si>
  <si>
    <t>2014-11-22 10:52:00</t>
  </si>
  <si>
    <t>2014-11-22 11:37:23</t>
  </si>
  <si>
    <t>CCSO_USER1</t>
  </si>
  <si>
    <t>CCSO_USER2</t>
  </si>
  <si>
    <t>CCSO_USER3</t>
  </si>
  <si>
    <t>CCSO_USER4</t>
  </si>
  <si>
    <t>S002</t>
  </si>
  <si>
    <t>S003</t>
  </si>
  <si>
    <t>2014-11-20 10:00:00</t>
  </si>
  <si>
    <t>2014-11-21 10:08:00</t>
  </si>
  <si>
    <t>2014-11-21 10:19:00</t>
  </si>
  <si>
    <t>2014-11-22 10:00:00</t>
  </si>
  <si>
    <t>2014-11-22 13:56:00</t>
  </si>
  <si>
    <t>2014-11-22 10:50:00</t>
  </si>
  <si>
    <t>2014-11-22 11:34:00</t>
  </si>
  <si>
    <t>2014-11-22 10:40:00</t>
  </si>
  <si>
    <t>Active</t>
  </si>
  <si>
    <t>Assigned</t>
  </si>
  <si>
    <t>Paused</t>
  </si>
  <si>
    <t>Task status(CUSTOMER SERVICE TASK)</t>
  </si>
  <si>
    <t>2014-11-20 14:55:00</t>
  </si>
  <si>
    <t>2014-11-21 10:28:00</t>
  </si>
  <si>
    <t>2014-11-22 11:30:00</t>
  </si>
  <si>
    <t>2014-11-22 13:55:00</t>
  </si>
  <si>
    <t>2014-11-21 10:30:00</t>
  </si>
  <si>
    <t>2014-11-23 10:40:00</t>
  </si>
  <si>
    <t>2014-11-24 10:20:00</t>
  </si>
  <si>
    <t>2014-11-25 10:25:00</t>
  </si>
  <si>
    <t>2014-11-26 10:15:00</t>
  </si>
  <si>
    <t>2014-11-27 10:45:00</t>
  </si>
  <si>
    <t>2014-11-28 11:00:00</t>
  </si>
  <si>
    <t>2014-11-20 15:00:00</t>
  </si>
  <si>
    <t>2014-11-21 15:30:00</t>
  </si>
  <si>
    <t>2014-11-22 15:35:00</t>
  </si>
  <si>
    <t>2014-11-23 15:40:00</t>
  </si>
  <si>
    <t>2014-11-24 15:20:00</t>
  </si>
  <si>
    <t>2014-11-25 15:25:00</t>
  </si>
  <si>
    <t>2014-11-26 15:15:00</t>
  </si>
  <si>
    <t>2014-11-27 15:45:00</t>
  </si>
  <si>
    <t>2014-11-28 16:00:00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</si>
</sst>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9"/>
      <color theme="1"/>
      <name val="Arial"/>
      <family val="2"/>
    </font>
    <font>
      <sz val="9"/>
      <color rgb="FF7F7F7F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applyNumberFormat="1" applyFont="1" applyFill="1" applyBorder="1" applyAlignment="1"/>
    <xf numFmtId="49" fontId="0" fillId="0" borderId="0" xfId="0" applyNumberFormat="1"/>
    <xf numFmtId="0" fontId="0" fillId="0" borderId="1" xfId="0" applyBorder="1"/>
    <xf numFmtId="0" fontId="5" fillId="0" borderId="2" xfId="0" applyFont="1" applyBorder="1"/>
    <xf numFmtId="49" fontId="0" fillId="0" borderId="1" xfId="0" applyNumberFormat="1" applyBorder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activeCell="F11" sqref="F11"/>
    </sheetView>
  </sheetViews>
  <sheetFormatPr defaultRowHeight="15"/>
  <cols>
    <col min="1" max="1" width="4.7109375" customWidth="1"/>
    <col min="2" max="2" width="20.85546875" customWidth="1"/>
    <col min="3" max="3" width="18.7109375" bestFit="1" customWidth="1"/>
    <col min="4" max="4" width="17.85546875" customWidth="1"/>
    <col min="5" max="5" width="20" bestFit="1" customWidth="1"/>
    <col min="6" max="6" width="20.85546875" style="11" customWidth="1"/>
    <col min="7" max="7" width="23.140625" style="11" customWidth="1"/>
    <col min="8" max="8" width="14.7109375" bestFit="1" customWidth="1"/>
    <col min="9" max="9" width="8.7109375" bestFit="1" customWidth="1"/>
    <col min="10" max="10" width="22.85546875" bestFit="1" customWidth="1"/>
    <col min="11" max="11" width="12.14062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5" t="s">
        <v>5</v>
      </c>
      <c r="G1" s="15" t="s">
        <v>6</v>
      </c>
      <c r="H1" s="2" t="s">
        <v>7</v>
      </c>
      <c r="I1" s="2" t="s">
        <v>8</v>
      </c>
      <c r="J1" t="s">
        <v>9</v>
      </c>
      <c r="K1" s="1" t="s">
        <v>10</v>
      </c>
    </row>
    <row r="2" spans="1:11">
      <c r="A2" s="3">
        <v>1</v>
      </c>
      <c r="B2" t="s">
        <v>25</v>
      </c>
      <c r="C2" s="3" t="s">
        <v>26</v>
      </c>
      <c r="D2" s="3" t="s">
        <v>27</v>
      </c>
      <c r="E2" t="s">
        <v>29</v>
      </c>
      <c r="F2" s="11" t="s">
        <v>95</v>
      </c>
      <c r="G2" s="11" t="s">
        <v>118</v>
      </c>
      <c r="H2" t="s">
        <v>28</v>
      </c>
      <c r="I2">
        <v>1</v>
      </c>
      <c r="J2">
        <v>1</v>
      </c>
    </row>
    <row r="3" spans="1:11">
      <c r="A3" s="3">
        <v>2</v>
      </c>
      <c r="B3" t="s">
        <v>30</v>
      </c>
      <c r="C3" s="3" t="s">
        <v>38</v>
      </c>
      <c r="D3" s="3" t="s">
        <v>27</v>
      </c>
      <c r="E3" t="s">
        <v>29</v>
      </c>
      <c r="F3" s="11" t="s">
        <v>111</v>
      </c>
      <c r="G3" s="11" t="s">
        <v>119</v>
      </c>
      <c r="H3" t="s">
        <v>93</v>
      </c>
      <c r="I3">
        <f>I2+1</f>
        <v>2</v>
      </c>
      <c r="J3">
        <v>2</v>
      </c>
    </row>
    <row r="4" spans="1:11">
      <c r="A4">
        <v>3</v>
      </c>
      <c r="B4" t="s">
        <v>31</v>
      </c>
      <c r="C4" s="3" t="s">
        <v>39</v>
      </c>
      <c r="D4" s="3" t="s">
        <v>27</v>
      </c>
      <c r="E4" t="s">
        <v>29</v>
      </c>
      <c r="F4" s="11" t="s">
        <v>98</v>
      </c>
      <c r="G4" s="11" t="s">
        <v>120</v>
      </c>
      <c r="H4" t="s">
        <v>94</v>
      </c>
      <c r="I4">
        <f t="shared" ref="I4:I10" si="0">I3+1</f>
        <v>3</v>
      </c>
      <c r="J4">
        <v>3</v>
      </c>
    </row>
    <row r="5" spans="1:11">
      <c r="A5">
        <v>4</v>
      </c>
      <c r="B5" t="s">
        <v>32</v>
      </c>
      <c r="C5" s="3" t="s">
        <v>41</v>
      </c>
      <c r="D5" s="3" t="s">
        <v>27</v>
      </c>
      <c r="E5" t="s">
        <v>29</v>
      </c>
      <c r="F5" s="11" t="s">
        <v>112</v>
      </c>
      <c r="G5" s="11" t="s">
        <v>121</v>
      </c>
      <c r="H5" t="s">
        <v>48</v>
      </c>
      <c r="I5">
        <f t="shared" si="0"/>
        <v>4</v>
      </c>
      <c r="J5">
        <v>2</v>
      </c>
    </row>
    <row r="6" spans="1:11">
      <c r="A6">
        <v>5</v>
      </c>
      <c r="B6" t="s">
        <v>33</v>
      </c>
      <c r="C6" s="3" t="s">
        <v>40</v>
      </c>
      <c r="D6" s="3" t="s">
        <v>27</v>
      </c>
      <c r="E6" t="s">
        <v>29</v>
      </c>
      <c r="F6" s="11" t="s">
        <v>113</v>
      </c>
      <c r="G6" s="11" t="s">
        <v>122</v>
      </c>
      <c r="H6" t="s">
        <v>49</v>
      </c>
      <c r="I6">
        <f t="shared" si="0"/>
        <v>5</v>
      </c>
      <c r="J6">
        <v>1</v>
      </c>
    </row>
    <row r="7" spans="1:11">
      <c r="A7">
        <v>6</v>
      </c>
      <c r="B7" t="s">
        <v>34</v>
      </c>
      <c r="C7" s="3" t="s">
        <v>42</v>
      </c>
      <c r="D7" s="3" t="s">
        <v>27</v>
      </c>
      <c r="E7" t="s">
        <v>29</v>
      </c>
      <c r="F7" s="11" t="s">
        <v>114</v>
      </c>
      <c r="G7" s="11" t="s">
        <v>123</v>
      </c>
      <c r="H7" t="s">
        <v>50</v>
      </c>
      <c r="I7">
        <f t="shared" si="0"/>
        <v>6</v>
      </c>
      <c r="J7">
        <v>3</v>
      </c>
    </row>
    <row r="8" spans="1:11">
      <c r="A8">
        <v>7</v>
      </c>
      <c r="B8" t="s">
        <v>35</v>
      </c>
      <c r="C8" s="3" t="s">
        <v>43</v>
      </c>
      <c r="D8" s="3" t="s">
        <v>27</v>
      </c>
      <c r="E8" t="s">
        <v>29</v>
      </c>
      <c r="F8" s="11" t="s">
        <v>115</v>
      </c>
      <c r="G8" s="11" t="s">
        <v>124</v>
      </c>
      <c r="H8" t="s">
        <v>51</v>
      </c>
      <c r="I8">
        <f t="shared" si="0"/>
        <v>7</v>
      </c>
      <c r="J8">
        <v>2</v>
      </c>
    </row>
    <row r="9" spans="1:11">
      <c r="A9">
        <v>8</v>
      </c>
      <c r="B9" t="s">
        <v>36</v>
      </c>
      <c r="C9" s="3" t="s">
        <v>44</v>
      </c>
      <c r="D9" s="3" t="s">
        <v>27</v>
      </c>
      <c r="E9" t="s">
        <v>29</v>
      </c>
      <c r="F9" s="11" t="s">
        <v>116</v>
      </c>
      <c r="G9" s="11" t="s">
        <v>125</v>
      </c>
      <c r="H9" t="s">
        <v>52</v>
      </c>
      <c r="I9">
        <f t="shared" si="0"/>
        <v>8</v>
      </c>
      <c r="J9">
        <v>3</v>
      </c>
    </row>
    <row r="10" spans="1:11">
      <c r="A10">
        <v>9</v>
      </c>
      <c r="B10" t="s">
        <v>37</v>
      </c>
      <c r="C10" s="3" t="s">
        <v>45</v>
      </c>
      <c r="D10" s="3" t="s">
        <v>27</v>
      </c>
      <c r="E10" t="s">
        <v>29</v>
      </c>
      <c r="F10" s="11" t="s">
        <v>117</v>
      </c>
      <c r="G10" s="11" t="s">
        <v>126</v>
      </c>
      <c r="H10" t="s">
        <v>53</v>
      </c>
      <c r="I10">
        <f t="shared" si="0"/>
        <v>9</v>
      </c>
      <c r="J10">
        <v>1</v>
      </c>
    </row>
    <row r="11" spans="1:11">
      <c r="A11">
        <v>10</v>
      </c>
      <c r="B11" t="s">
        <v>32</v>
      </c>
      <c r="C11" s="3" t="s">
        <v>41</v>
      </c>
      <c r="H11" t="s">
        <v>28</v>
      </c>
    </row>
    <row r="12" spans="1:11">
      <c r="A12">
        <v>11</v>
      </c>
      <c r="B12" t="s">
        <v>36</v>
      </c>
      <c r="C12" s="3" t="s">
        <v>62</v>
      </c>
      <c r="H12" t="s">
        <v>46</v>
      </c>
    </row>
    <row r="13" spans="1:11">
      <c r="A13">
        <v>12</v>
      </c>
      <c r="B13" t="s">
        <v>25</v>
      </c>
      <c r="C13" s="3" t="s">
        <v>63</v>
      </c>
      <c r="H13" t="s">
        <v>47</v>
      </c>
    </row>
    <row r="14" spans="1:11">
      <c r="A14">
        <v>13</v>
      </c>
      <c r="B14" t="s">
        <v>30</v>
      </c>
      <c r="C14" s="3" t="s">
        <v>64</v>
      </c>
      <c r="H14" t="s">
        <v>48</v>
      </c>
    </row>
    <row r="15" spans="1:11">
      <c r="A15">
        <v>14</v>
      </c>
      <c r="B15" t="s">
        <v>31</v>
      </c>
      <c r="C15" s="3" t="s">
        <v>65</v>
      </c>
      <c r="H15" t="s">
        <v>49</v>
      </c>
    </row>
    <row r="16" spans="1:11">
      <c r="A16">
        <v>15</v>
      </c>
      <c r="B16" t="s">
        <v>32</v>
      </c>
      <c r="C16" s="3" t="s">
        <v>66</v>
      </c>
      <c r="H16" t="s">
        <v>50</v>
      </c>
    </row>
    <row r="17" spans="1:8">
      <c r="A17">
        <v>16</v>
      </c>
      <c r="B17" t="s">
        <v>33</v>
      </c>
      <c r="C17" s="3" t="s">
        <v>67</v>
      </c>
      <c r="H17" t="s">
        <v>51</v>
      </c>
    </row>
    <row r="18" spans="1:8">
      <c r="A18">
        <v>17</v>
      </c>
      <c r="B18" t="s">
        <v>34</v>
      </c>
      <c r="H18" t="s">
        <v>28</v>
      </c>
    </row>
    <row r="19" spans="1:8">
      <c r="H19" t="s">
        <v>46</v>
      </c>
    </row>
    <row r="20" spans="1:8">
      <c r="H20" t="s">
        <v>47</v>
      </c>
    </row>
    <row r="21" spans="1:8">
      <c r="H21" t="s">
        <v>48</v>
      </c>
    </row>
    <row r="22" spans="1:8">
      <c r="H22" t="s">
        <v>49</v>
      </c>
    </row>
    <row r="23" spans="1:8">
      <c r="H23" t="s">
        <v>50</v>
      </c>
    </row>
    <row r="24" spans="1:8">
      <c r="H24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6"/>
  <sheetViews>
    <sheetView tabSelected="1" workbookViewId="0">
      <selection activeCell="F18" sqref="F18"/>
    </sheetView>
  </sheetViews>
  <sheetFormatPr defaultRowHeight="15"/>
  <cols>
    <col min="1" max="1" width="7.140625" customWidth="1"/>
    <col min="2" max="2" width="22.140625" style="11" customWidth="1"/>
    <col min="3" max="3" width="19.42578125" style="11" customWidth="1"/>
    <col min="4" max="4" width="18.28515625" style="11" bestFit="1" customWidth="1"/>
    <col min="5" max="5" width="17.5703125" bestFit="1" customWidth="1"/>
    <col min="6" max="6" width="14.42578125" bestFit="1" customWidth="1"/>
    <col min="7" max="7" width="18" bestFit="1" customWidth="1"/>
    <col min="8" max="8" width="22.42578125" bestFit="1" customWidth="1"/>
    <col min="9" max="9" width="13.5703125" bestFit="1" customWidth="1"/>
    <col min="10" max="10" width="12" bestFit="1" customWidth="1"/>
    <col min="11" max="11" width="8.28515625" bestFit="1" customWidth="1"/>
    <col min="12" max="12" width="12.140625" bestFit="1" customWidth="1"/>
  </cols>
  <sheetData>
    <row r="1" spans="1:12">
      <c r="A1" s="1" t="s">
        <v>0</v>
      </c>
      <c r="B1" s="11" t="s">
        <v>11</v>
      </c>
      <c r="C1" s="11" t="s">
        <v>12</v>
      </c>
      <c r="D1" s="11" t="s">
        <v>13</v>
      </c>
      <c r="E1" t="s">
        <v>14</v>
      </c>
      <c r="F1" t="s">
        <v>61</v>
      </c>
      <c r="G1" t="s">
        <v>15</v>
      </c>
      <c r="H1" t="s">
        <v>16</v>
      </c>
      <c r="I1" t="s">
        <v>17</v>
      </c>
      <c r="J1" s="2" t="s">
        <v>18</v>
      </c>
      <c r="K1" s="2" t="s">
        <v>19</v>
      </c>
      <c r="L1" s="1" t="s">
        <v>10</v>
      </c>
    </row>
    <row r="2" spans="1:12">
      <c r="A2">
        <v>1</v>
      </c>
      <c r="B2" s="11" t="s">
        <v>95</v>
      </c>
      <c r="C2" s="11" t="s">
        <v>82</v>
      </c>
      <c r="D2" s="11" t="s">
        <v>107</v>
      </c>
      <c r="E2" s="8">
        <f>IF((D2-C2)*86400&gt;0,ROUND((D2-C2)*86400,0),"")</f>
        <v>17400</v>
      </c>
      <c r="F2" s="8">
        <f>ROUND((C2-B2)*86400,0)</f>
        <v>300</v>
      </c>
      <c r="G2" s="4" t="s">
        <v>80</v>
      </c>
      <c r="H2">
        <f>CUSTOMER_HISTORY!A2</f>
        <v>1</v>
      </c>
      <c r="I2">
        <v>1</v>
      </c>
      <c r="J2" t="s">
        <v>68</v>
      </c>
      <c r="K2">
        <v>8748</v>
      </c>
    </row>
    <row r="3" spans="1:12">
      <c r="A3">
        <v>2</v>
      </c>
      <c r="B3" s="11" t="s">
        <v>96</v>
      </c>
      <c r="C3" s="11" t="s">
        <v>83</v>
      </c>
      <c r="E3" s="8" t="str">
        <f t="shared" ref="E3:E24" si="0">IF((D3-C3)*86400&gt;0,ROUND((D3-C3)*86400,0),"")</f>
        <v/>
      </c>
      <c r="F3" s="8">
        <f t="shared" ref="F3:F8" si="1">ROUND((C3-B3)*86400,0)</f>
        <v>476</v>
      </c>
      <c r="G3" s="4" t="s">
        <v>105</v>
      </c>
      <c r="H3">
        <f>CUSTOMER_HISTORY!A3</f>
        <v>2</v>
      </c>
      <c r="I3">
        <v>101</v>
      </c>
      <c r="J3" t="s">
        <v>89</v>
      </c>
      <c r="K3">
        <v>8749</v>
      </c>
    </row>
    <row r="4" spans="1:12">
      <c r="A4">
        <v>3</v>
      </c>
      <c r="B4" s="11" t="s">
        <v>97</v>
      </c>
      <c r="C4" s="11" t="s">
        <v>84</v>
      </c>
      <c r="D4" s="11" t="s">
        <v>108</v>
      </c>
      <c r="E4" s="8">
        <f t="shared" si="0"/>
        <v>180</v>
      </c>
      <c r="F4" s="8">
        <f t="shared" si="1"/>
        <v>360</v>
      </c>
      <c r="G4" s="4" t="s">
        <v>80</v>
      </c>
      <c r="H4">
        <v>2</v>
      </c>
      <c r="I4">
        <v>101</v>
      </c>
      <c r="J4" t="s">
        <v>90</v>
      </c>
      <c r="K4">
        <v>8750</v>
      </c>
    </row>
    <row r="5" spans="1:12">
      <c r="A5">
        <v>4</v>
      </c>
      <c r="B5" s="11" t="s">
        <v>98</v>
      </c>
      <c r="C5" s="11" t="s">
        <v>85</v>
      </c>
      <c r="E5" s="8" t="str">
        <f t="shared" si="0"/>
        <v/>
      </c>
      <c r="F5" s="8">
        <f t="shared" si="1"/>
        <v>2100</v>
      </c>
      <c r="G5" s="4" t="s">
        <v>105</v>
      </c>
      <c r="H5">
        <f>CUSTOMER_HISTORY!A4</f>
        <v>3</v>
      </c>
      <c r="I5">
        <v>101</v>
      </c>
      <c r="J5" t="s">
        <v>91</v>
      </c>
      <c r="K5">
        <v>8752</v>
      </c>
    </row>
    <row r="6" spans="1:12">
      <c r="A6">
        <v>5</v>
      </c>
      <c r="B6" s="11" t="s">
        <v>99</v>
      </c>
      <c r="C6" s="11" t="s">
        <v>86</v>
      </c>
      <c r="E6" s="8" t="str">
        <f t="shared" si="0"/>
        <v/>
      </c>
      <c r="F6" s="8">
        <f t="shared" si="1"/>
        <v>1740</v>
      </c>
      <c r="G6" s="4" t="s">
        <v>103</v>
      </c>
      <c r="H6">
        <f>CUSTOMER_HISTORY!A4</f>
        <v>3</v>
      </c>
      <c r="I6">
        <v>101</v>
      </c>
      <c r="J6" t="s">
        <v>92</v>
      </c>
      <c r="K6">
        <v>8754</v>
      </c>
    </row>
    <row r="7" spans="1:12">
      <c r="A7">
        <v>6</v>
      </c>
      <c r="B7" s="11" t="s">
        <v>100</v>
      </c>
      <c r="C7" s="11" t="s">
        <v>87</v>
      </c>
      <c r="D7" s="11" t="s">
        <v>109</v>
      </c>
      <c r="E7" s="8">
        <f t="shared" si="0"/>
        <v>2280</v>
      </c>
      <c r="F7" s="8">
        <f t="shared" si="1"/>
        <v>120</v>
      </c>
      <c r="G7" s="4" t="s">
        <v>80</v>
      </c>
      <c r="H7">
        <f>CUSTOMER_HISTORY!A4</f>
        <v>3</v>
      </c>
      <c r="I7">
        <v>101</v>
      </c>
      <c r="J7" t="s">
        <v>89</v>
      </c>
      <c r="K7">
        <v>8749</v>
      </c>
    </row>
    <row r="8" spans="1:12">
      <c r="A8">
        <v>7</v>
      </c>
      <c r="B8" s="11" t="s">
        <v>101</v>
      </c>
      <c r="C8" s="11" t="s">
        <v>88</v>
      </c>
      <c r="D8" s="11" t="s">
        <v>110</v>
      </c>
      <c r="E8" s="8">
        <f t="shared" si="0"/>
        <v>8257</v>
      </c>
      <c r="F8" s="8">
        <f t="shared" si="1"/>
        <v>203</v>
      </c>
      <c r="G8" s="4" t="s">
        <v>81</v>
      </c>
      <c r="H8">
        <f>CUSTOMER_HISTORY!A4</f>
        <v>3</v>
      </c>
      <c r="I8">
        <v>101</v>
      </c>
      <c r="J8" t="s">
        <v>90</v>
      </c>
      <c r="K8">
        <v>8750</v>
      </c>
    </row>
    <row r="9" spans="1:12">
      <c r="A9">
        <v>8</v>
      </c>
      <c r="B9" s="11" t="s">
        <v>102</v>
      </c>
      <c r="E9" s="8" t="str">
        <f t="shared" si="0"/>
        <v/>
      </c>
      <c r="F9" s="8"/>
      <c r="H9">
        <f>CUSTOMER_HISTORY!A9</f>
        <v>8</v>
      </c>
    </row>
    <row r="10" spans="1:12">
      <c r="A10">
        <v>9</v>
      </c>
      <c r="E10" s="8" t="str">
        <f t="shared" si="0"/>
        <v/>
      </c>
      <c r="F10" s="8"/>
      <c r="H10">
        <f>CUSTOMER_HISTORY!A10</f>
        <v>9</v>
      </c>
    </row>
    <row r="11" spans="1:12">
      <c r="A11">
        <v>10</v>
      </c>
      <c r="E11" s="8" t="str">
        <f t="shared" si="0"/>
        <v/>
      </c>
      <c r="F11" s="8"/>
      <c r="H11">
        <f>CUSTOMER_HISTORY!A11</f>
        <v>10</v>
      </c>
    </row>
    <row r="12" spans="1:12">
      <c r="A12">
        <v>11</v>
      </c>
      <c r="D12" s="14"/>
      <c r="E12" s="12"/>
      <c r="F12" s="8"/>
      <c r="H12">
        <f>CUSTOMER_HISTORY!A12</f>
        <v>11</v>
      </c>
    </row>
    <row r="13" spans="1:12">
      <c r="A13">
        <v>12</v>
      </c>
      <c r="F13" s="8"/>
      <c r="H13">
        <f>CUSTOMER_HISTORY!A13</f>
        <v>12</v>
      </c>
    </row>
    <row r="14" spans="1:12">
      <c r="F14" s="8"/>
      <c r="H14">
        <f>CUSTOMER_HISTORY!A14</f>
        <v>13</v>
      </c>
    </row>
    <row r="15" spans="1:12">
      <c r="F15" s="8"/>
      <c r="H15">
        <f>CUSTOMER_HISTORY!A15</f>
        <v>14</v>
      </c>
    </row>
    <row r="16" spans="1:12">
      <c r="F16" s="8"/>
    </row>
    <row r="17" spans="5:6">
      <c r="F17" s="8"/>
    </row>
    <row r="18" spans="5:6">
      <c r="F18" s="8"/>
    </row>
    <row r="19" spans="5:6">
      <c r="F19" s="8"/>
    </row>
    <row r="20" spans="5:6">
      <c r="F20" s="8"/>
    </row>
    <row r="21" spans="5:6">
      <c r="F21" s="8"/>
    </row>
    <row r="22" spans="5:6">
      <c r="F22" s="8"/>
    </row>
    <row r="23" spans="5:6">
      <c r="F23" s="8"/>
    </row>
    <row r="24" spans="5:6">
      <c r="F24" s="8"/>
    </row>
    <row r="25" spans="5:6">
      <c r="F25" s="8"/>
    </row>
    <row r="26" spans="5:6">
      <c r="F26" s="8"/>
    </row>
    <row r="27" spans="5:6">
      <c r="F27" s="8"/>
    </row>
    <row r="28" spans="5:6">
      <c r="E28" s="9"/>
      <c r="F28" s="8"/>
    </row>
    <row r="29" spans="5:6">
      <c r="E29" s="9"/>
      <c r="F29" s="8"/>
    </row>
    <row r="30" spans="5:6">
      <c r="E30" s="9"/>
      <c r="F30" s="8"/>
    </row>
    <row r="31" spans="5:6">
      <c r="E31" s="9"/>
      <c r="F31" s="8"/>
    </row>
    <row r="32" spans="5:6">
      <c r="E32" s="9"/>
      <c r="F32" s="8"/>
    </row>
    <row r="33" spans="5:6">
      <c r="E33" s="9"/>
      <c r="F33" s="8"/>
    </row>
    <row r="34" spans="5:6">
      <c r="E34" s="9"/>
      <c r="F34" s="8"/>
    </row>
    <row r="35" spans="5:6">
      <c r="E35" s="9"/>
      <c r="F35" s="8"/>
    </row>
    <row r="36" spans="5:6">
      <c r="E36" s="9"/>
      <c r="F36" s="8"/>
    </row>
    <row r="37" spans="5:6">
      <c r="E37" s="9"/>
      <c r="F37" s="8"/>
    </row>
    <row r="38" spans="5:6">
      <c r="E38" s="9"/>
      <c r="F38" s="8"/>
    </row>
    <row r="39" spans="5:6">
      <c r="E39" s="9"/>
      <c r="F39" s="8"/>
    </row>
    <row r="40" spans="5:6">
      <c r="E40" s="9"/>
      <c r="F40" s="8"/>
    </row>
    <row r="41" spans="5:6">
      <c r="E41" s="9"/>
      <c r="F41" s="8"/>
    </row>
    <row r="42" spans="5:6">
      <c r="E42" s="9"/>
      <c r="F42" s="8"/>
    </row>
    <row r="43" spans="5:6">
      <c r="E43" s="9"/>
      <c r="F43" s="8"/>
    </row>
    <row r="44" spans="5:6">
      <c r="E44" s="9"/>
      <c r="F44" s="8"/>
    </row>
    <row r="45" spans="5:6">
      <c r="E45" s="9"/>
      <c r="F45" s="8"/>
    </row>
    <row r="46" spans="5:6">
      <c r="E46" s="9"/>
      <c r="F46" s="8"/>
    </row>
    <row r="47" spans="5:6">
      <c r="E47" s="9"/>
      <c r="F47" s="8"/>
    </row>
    <row r="48" spans="5:6">
      <c r="E48" s="9"/>
      <c r="F48" s="8"/>
    </row>
    <row r="49" spans="5:6">
      <c r="E49" s="9"/>
      <c r="F49" s="8"/>
    </row>
    <row r="50" spans="5:6">
      <c r="E50" s="9"/>
      <c r="F50" s="8"/>
    </row>
    <row r="51" spans="5:6">
      <c r="E51" s="9"/>
      <c r="F51" s="8"/>
    </row>
    <row r="52" spans="5:6">
      <c r="E52" s="9"/>
      <c r="F52" s="8"/>
    </row>
    <row r="53" spans="5:6">
      <c r="E53" s="9"/>
      <c r="F53" s="8"/>
    </row>
    <row r="54" spans="5:6">
      <c r="E54" s="9"/>
      <c r="F54" s="8"/>
    </row>
    <row r="55" spans="5:6">
      <c r="E55" s="9"/>
      <c r="F55" s="8"/>
    </row>
    <row r="56" spans="5:6">
      <c r="E56" s="9"/>
      <c r="F56" s="8"/>
    </row>
    <row r="57" spans="5:6">
      <c r="E57" s="9"/>
      <c r="F57" s="8"/>
    </row>
    <row r="58" spans="5:6">
      <c r="E58" s="9"/>
      <c r="F58" s="8"/>
    </row>
    <row r="59" spans="5:6">
      <c r="E59" s="9"/>
      <c r="F59" s="8"/>
    </row>
    <row r="60" spans="5:6">
      <c r="E60" s="9"/>
      <c r="F60" s="8"/>
    </row>
    <row r="61" spans="5:6">
      <c r="E61" s="9"/>
      <c r="F61" s="8"/>
    </row>
    <row r="62" spans="5:6">
      <c r="E62" s="9"/>
      <c r="F62" s="8"/>
    </row>
    <row r="63" spans="5:6">
      <c r="E63" s="9"/>
      <c r="F63" s="8"/>
    </row>
    <row r="64" spans="5:6">
      <c r="E64" s="9"/>
      <c r="F64" s="8"/>
    </row>
    <row r="65" spans="5:6">
      <c r="E65" s="9"/>
      <c r="F65" s="8"/>
    </row>
    <row r="66" spans="5:6">
      <c r="E66" s="9"/>
      <c r="F66" s="8"/>
    </row>
    <row r="67" spans="5:6">
      <c r="E67" s="9"/>
      <c r="F67" s="8"/>
    </row>
    <row r="68" spans="5:6">
      <c r="E68" s="9"/>
      <c r="F68" s="8"/>
    </row>
    <row r="69" spans="5:6">
      <c r="E69" s="9"/>
      <c r="F69" s="8"/>
    </row>
    <row r="70" spans="5:6">
      <c r="E70" s="9"/>
      <c r="F70" s="8"/>
    </row>
    <row r="71" spans="5:6">
      <c r="E71" s="9"/>
      <c r="F71" s="8"/>
    </row>
    <row r="72" spans="5:6">
      <c r="E72" s="9"/>
      <c r="F72" s="8"/>
    </row>
    <row r="73" spans="5:6">
      <c r="E73" s="9"/>
      <c r="F73" s="8"/>
    </row>
    <row r="74" spans="5:6">
      <c r="E74" s="9"/>
      <c r="F74" s="8"/>
    </row>
    <row r="75" spans="5:6">
      <c r="E75" s="9"/>
      <c r="F75" s="8"/>
    </row>
    <row r="76" spans="5:6">
      <c r="E76" s="9"/>
      <c r="F76" s="8"/>
    </row>
    <row r="77" spans="5:6">
      <c r="E77" s="9"/>
      <c r="F77" s="8"/>
    </row>
    <row r="78" spans="5:6">
      <c r="E78" s="9"/>
      <c r="F78" s="8"/>
    </row>
    <row r="79" spans="5:6">
      <c r="E79" s="9"/>
      <c r="F79" s="8"/>
    </row>
    <row r="80" spans="5:6">
      <c r="E80" s="9"/>
      <c r="F80" s="8"/>
    </row>
    <row r="81" spans="5:6">
      <c r="E81" s="9"/>
      <c r="F81" s="8"/>
    </row>
    <row r="82" spans="5:6">
      <c r="E82" s="9"/>
      <c r="F82" s="8"/>
    </row>
    <row r="83" spans="5:6">
      <c r="E83" s="9"/>
      <c r="F83" s="8"/>
    </row>
    <row r="84" spans="5:6">
      <c r="E84" s="9"/>
      <c r="F84" s="8"/>
    </row>
    <row r="85" spans="5:6">
      <c r="E85" s="9"/>
      <c r="F85" s="8"/>
    </row>
    <row r="86" spans="5:6">
      <c r="E86" s="9"/>
      <c r="F86" s="8"/>
    </row>
    <row r="87" spans="5:6">
      <c r="E87" s="9"/>
      <c r="F87" s="8"/>
    </row>
    <row r="88" spans="5:6">
      <c r="E88" s="9"/>
      <c r="F88" s="8"/>
    </row>
    <row r="89" spans="5:6">
      <c r="E89" s="9"/>
      <c r="F89" s="8"/>
    </row>
    <row r="90" spans="5:6">
      <c r="E90" s="9"/>
      <c r="F90" s="8"/>
    </row>
    <row r="91" spans="5:6">
      <c r="E91" s="9"/>
      <c r="F91" s="8"/>
    </row>
    <row r="92" spans="5:6">
      <c r="E92" s="9"/>
      <c r="F92" s="8"/>
    </row>
    <row r="93" spans="5:6">
      <c r="E93" s="9"/>
      <c r="F93" s="8"/>
    </row>
    <row r="94" spans="5:6">
      <c r="E94" s="9"/>
      <c r="F94" s="8"/>
    </row>
    <row r="95" spans="5:6">
      <c r="E95" s="9"/>
      <c r="F95" s="8"/>
    </row>
    <row r="96" spans="5:6">
      <c r="E96" s="9"/>
      <c r="F96" s="8"/>
    </row>
    <row r="97" spans="5:6">
      <c r="E97" s="9"/>
      <c r="F97" s="8"/>
    </row>
    <row r="98" spans="5:6">
      <c r="E98" s="9"/>
      <c r="F98" s="8"/>
    </row>
    <row r="99" spans="5:6">
      <c r="E99" s="9"/>
      <c r="F99" s="8"/>
    </row>
    <row r="100" spans="5:6">
      <c r="E100" s="9"/>
      <c r="F100" s="8"/>
    </row>
    <row r="101" spans="5:6">
      <c r="E101" s="9"/>
      <c r="F101" s="8"/>
    </row>
    <row r="102" spans="5:6">
      <c r="E102" s="9"/>
      <c r="F102" s="8"/>
    </row>
    <row r="103" spans="5:6">
      <c r="E103" s="9"/>
      <c r="F103" s="8"/>
    </row>
    <row r="104" spans="5:6">
      <c r="E104" s="9"/>
      <c r="F104" s="8"/>
    </row>
    <row r="105" spans="5:6">
      <c r="E105" s="9"/>
      <c r="F105" s="8"/>
    </row>
    <row r="106" spans="5:6">
      <c r="E106" s="9"/>
      <c r="F106" s="8"/>
    </row>
    <row r="107" spans="5:6">
      <c r="E107" s="9"/>
    </row>
    <row r="108" spans="5:6">
      <c r="E108" s="9"/>
    </row>
    <row r="109" spans="5:6">
      <c r="E109" s="9"/>
    </row>
    <row r="110" spans="5:6">
      <c r="E110" s="9"/>
    </row>
    <row r="111" spans="5:6">
      <c r="E111" s="9"/>
    </row>
    <row r="112" spans="5:6">
      <c r="E112" s="9"/>
    </row>
    <row r="113" spans="5:5">
      <c r="E113" s="9"/>
    </row>
    <row r="114" spans="5:5">
      <c r="E114" s="9"/>
    </row>
    <row r="115" spans="5:5">
      <c r="E115" s="9"/>
    </row>
    <row r="116" spans="5:5">
      <c r="E116" s="9"/>
    </row>
    <row r="117" spans="5:5">
      <c r="E117" s="9"/>
    </row>
    <row r="118" spans="5:5">
      <c r="E118" s="9"/>
    </row>
    <row r="119" spans="5:5">
      <c r="E119" s="9"/>
    </row>
    <row r="120" spans="5:5">
      <c r="E120" s="9"/>
    </row>
    <row r="121" spans="5:5">
      <c r="E121" s="9"/>
    </row>
    <row r="122" spans="5:5">
      <c r="E122" s="9"/>
    </row>
    <row r="123" spans="5:5">
      <c r="E123" s="9"/>
    </row>
    <row r="124" spans="5:5">
      <c r="E124" s="9"/>
    </row>
    <row r="125" spans="5:5">
      <c r="E125" s="9"/>
    </row>
    <row r="126" spans="5:5">
      <c r="E126" s="9"/>
    </row>
    <row r="127" spans="5:5">
      <c r="E127" s="9"/>
    </row>
    <row r="128" spans="5:5">
      <c r="E128" s="9"/>
    </row>
    <row r="129" spans="5:5">
      <c r="E129" s="9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selection activeCell="L17" sqref="L17"/>
    </sheetView>
  </sheetViews>
  <sheetFormatPr defaultColWidth="6.28515625" defaultRowHeight="15"/>
  <cols>
    <col min="1" max="1" width="9.140625" customWidth="1"/>
    <col min="2" max="2" width="13.42578125" customWidth="1"/>
    <col min="3" max="3" width="17.5703125" bestFit="1" customWidth="1"/>
    <col min="4" max="4" width="18.7109375" style="11" bestFit="1" customWidth="1"/>
    <col min="5" max="5" width="18.28515625" bestFit="1" customWidth="1"/>
    <col min="6" max="6" width="13.5703125" customWidth="1"/>
    <col min="7" max="7" width="12.140625" bestFit="1" customWidth="1"/>
    <col min="12" max="12" width="58.7109375" bestFit="1" customWidth="1"/>
  </cols>
  <sheetData>
    <row r="1" spans="1:12">
      <c r="A1" s="1" t="s">
        <v>0</v>
      </c>
      <c r="B1" t="s">
        <v>20</v>
      </c>
      <c r="C1" t="s">
        <v>21</v>
      </c>
      <c r="D1" s="11" t="s">
        <v>22</v>
      </c>
      <c r="E1" t="s">
        <v>23</v>
      </c>
      <c r="F1" t="s">
        <v>24</v>
      </c>
      <c r="G1" s="1" t="s">
        <v>10</v>
      </c>
    </row>
    <row r="2" spans="1:12">
      <c r="A2" s="8">
        <v>1</v>
      </c>
      <c r="B2" s="10">
        <f>CUSTOMER_SERVICE_TASK!A2</f>
        <v>1</v>
      </c>
      <c r="C2" t="s">
        <v>76</v>
      </c>
      <c r="D2" s="11" t="s">
        <v>82</v>
      </c>
      <c r="E2" s="7">
        <v>41963.621527777781</v>
      </c>
      <c r="F2" t="s">
        <v>69</v>
      </c>
    </row>
    <row r="3" spans="1:12">
      <c r="A3">
        <f>A2+1</f>
        <v>2</v>
      </c>
      <c r="B3" s="10">
        <f>CUSTOMER_SERVICE_TASK!A3</f>
        <v>2</v>
      </c>
      <c r="C3" t="s">
        <v>77</v>
      </c>
      <c r="D3" s="11" t="s">
        <v>83</v>
      </c>
      <c r="E3" s="7"/>
      <c r="F3" t="s">
        <v>70</v>
      </c>
    </row>
    <row r="4" spans="1:12">
      <c r="A4">
        <f t="shared" ref="A4:A22" si="0">A3+1</f>
        <v>3</v>
      </c>
      <c r="B4" s="10">
        <f>CUSTOMER_SERVICE_TASK!A4</f>
        <v>3</v>
      </c>
      <c r="C4" t="s">
        <v>76</v>
      </c>
      <c r="D4" s="11" t="s">
        <v>84</v>
      </c>
      <c r="E4" s="7" t="str">
        <f>CUSTOMER_SERVICE_TASK!D4</f>
        <v>2014-11-21 10:28:00</v>
      </c>
      <c r="F4" t="s">
        <v>71</v>
      </c>
    </row>
    <row r="5" spans="1:12">
      <c r="A5">
        <f t="shared" si="0"/>
        <v>4</v>
      </c>
      <c r="B5" s="10">
        <f>CUSTOMER_SERVICE_TASK!A5</f>
        <v>4</v>
      </c>
      <c r="C5" t="s">
        <v>77</v>
      </c>
      <c r="D5" s="11" t="s">
        <v>85</v>
      </c>
      <c r="E5" s="7"/>
      <c r="F5" t="s">
        <v>72</v>
      </c>
    </row>
    <row r="6" spans="1:12">
      <c r="A6">
        <f t="shared" si="0"/>
        <v>5</v>
      </c>
      <c r="B6" s="10">
        <f>CUSTOMER_SERVICE_TASK!A6</f>
        <v>5</v>
      </c>
      <c r="C6" t="s">
        <v>79</v>
      </c>
      <c r="D6" s="11" t="s">
        <v>86</v>
      </c>
      <c r="E6" s="7"/>
      <c r="F6" t="s">
        <v>73</v>
      </c>
      <c r="L6" s="4" t="s">
        <v>54</v>
      </c>
    </row>
    <row r="7" spans="1:12">
      <c r="A7">
        <f t="shared" si="0"/>
        <v>6</v>
      </c>
      <c r="B7" s="10">
        <f>CUSTOMER_SERVICE_TASK!A7</f>
        <v>6</v>
      </c>
      <c r="C7" t="s">
        <v>76</v>
      </c>
      <c r="D7" s="11" t="s">
        <v>87</v>
      </c>
      <c r="E7" s="7" t="str">
        <f>CUSTOMER_SERVICE_TASK!D7</f>
        <v>2014-11-22 11:30:00</v>
      </c>
      <c r="F7" t="s">
        <v>74</v>
      </c>
      <c r="L7" s="4" t="s">
        <v>55</v>
      </c>
    </row>
    <row r="8" spans="1:12">
      <c r="A8">
        <f t="shared" si="0"/>
        <v>7</v>
      </c>
      <c r="B8" s="10">
        <f>CUSTOMER_SERVICE_TASK!A8</f>
        <v>7</v>
      </c>
      <c r="C8" t="s">
        <v>78</v>
      </c>
      <c r="D8" s="11" t="s">
        <v>88</v>
      </c>
      <c r="E8" s="7" t="str">
        <f>CUSTOMER_SERVICE_TASK!D8</f>
        <v>2014-11-22 13:55:00</v>
      </c>
      <c r="F8" t="s">
        <v>75</v>
      </c>
      <c r="L8" s="4" t="s">
        <v>56</v>
      </c>
    </row>
    <row r="9" spans="1:12">
      <c r="A9">
        <f t="shared" si="0"/>
        <v>8</v>
      </c>
      <c r="B9" s="10">
        <f>CUSTOMER_SERVICE_TASK!A9</f>
        <v>8</v>
      </c>
      <c r="L9" s="4" t="s">
        <v>57</v>
      </c>
    </row>
    <row r="10" spans="1:12">
      <c r="A10">
        <f t="shared" si="0"/>
        <v>9</v>
      </c>
      <c r="B10" s="10">
        <f>CUSTOMER_SERVICE_TASK!A10</f>
        <v>9</v>
      </c>
      <c r="L10" s="4" t="s">
        <v>58</v>
      </c>
    </row>
    <row r="11" spans="1:12">
      <c r="A11">
        <f t="shared" si="0"/>
        <v>10</v>
      </c>
      <c r="B11" s="10">
        <f>CUSTOMER_SERVICE_TASK!A11</f>
        <v>10</v>
      </c>
      <c r="L11" s="4" t="s">
        <v>59</v>
      </c>
    </row>
    <row r="12" spans="1:12">
      <c r="A12">
        <f t="shared" si="0"/>
        <v>11</v>
      </c>
      <c r="B12" s="10">
        <f>CUSTOMER_SERVICE_TASK!A12</f>
        <v>11</v>
      </c>
      <c r="L12" s="4" t="s">
        <v>60</v>
      </c>
    </row>
    <row r="13" spans="1:12">
      <c r="A13">
        <f t="shared" si="0"/>
        <v>12</v>
      </c>
      <c r="B13" s="10">
        <f>CUSTOMER_SERVICE_TASK!A13</f>
        <v>12</v>
      </c>
      <c r="L13" s="5"/>
    </row>
    <row r="14" spans="1:12">
      <c r="A14">
        <f t="shared" si="0"/>
        <v>13</v>
      </c>
      <c r="B14" s="10">
        <f>CUSTOMER_SERVICE_TASK!A14</f>
        <v>0</v>
      </c>
      <c r="L14" s="6"/>
    </row>
    <row r="15" spans="1:12">
      <c r="A15">
        <f t="shared" si="0"/>
        <v>14</v>
      </c>
      <c r="B15" s="10">
        <f>CUSTOMER_SERVICE_TASK!A15</f>
        <v>0</v>
      </c>
      <c r="L15" s="13" t="s">
        <v>106</v>
      </c>
    </row>
    <row r="16" spans="1:12">
      <c r="A16">
        <f t="shared" si="0"/>
        <v>15</v>
      </c>
      <c r="B16" s="10">
        <f>CUSTOMER_SERVICE_TASK!A16</f>
        <v>0</v>
      </c>
      <c r="L16" s="4" t="s">
        <v>104</v>
      </c>
    </row>
    <row r="17" spans="1:12">
      <c r="A17">
        <f t="shared" si="0"/>
        <v>16</v>
      </c>
      <c r="B17" s="10">
        <f>CUSTOMER_SERVICE_TASK!A17</f>
        <v>0</v>
      </c>
      <c r="L17" s="4" t="s">
        <v>103</v>
      </c>
    </row>
    <row r="18" spans="1:12">
      <c r="A18">
        <f t="shared" si="0"/>
        <v>17</v>
      </c>
      <c r="B18" s="10">
        <f>CUSTOMER_SERVICE_TASK!A18</f>
        <v>0</v>
      </c>
      <c r="L18" s="4" t="s">
        <v>105</v>
      </c>
    </row>
    <row r="19" spans="1:12">
      <c r="A19">
        <f t="shared" si="0"/>
        <v>18</v>
      </c>
      <c r="L19" s="4" t="s">
        <v>80</v>
      </c>
    </row>
    <row r="20" spans="1:12">
      <c r="A20">
        <f t="shared" si="0"/>
        <v>19</v>
      </c>
      <c r="L20" s="4" t="s">
        <v>81</v>
      </c>
    </row>
    <row r="21" spans="1:12">
      <c r="A21">
        <f t="shared" si="0"/>
        <v>20</v>
      </c>
    </row>
    <row r="22" spans="1:12">
      <c r="A22">
        <f t="shared" si="0"/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CUSTOMER_HISTORY</vt:lpstr>
      <vt:lpstr>CUSTOMER_SERVICE_TASK</vt:lpstr>
      <vt:lpstr>TASK_EVENT_HISTORY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ashfak.chowdhury</dc:creator>
  <cp:lastModifiedBy>ashfak.chowdhury</cp:lastModifiedBy>
  <dcterms:created xsi:type="dcterms:W3CDTF">2014-11-24T12:06:50Z</dcterms:created>
  <dcterms:modified xsi:type="dcterms:W3CDTF">2014-11-25T14:48:01Z</dcterms:modified>
</cp:coreProperties>
</file>